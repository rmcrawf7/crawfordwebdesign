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argets" sheetId="2" state="visible" r:id="rId4"/>
    <sheet name="Summary" sheetId="3" state="visible" r:id="rId5"/>
    <sheet name="Removed" sheetId="4" state="visible" r:id="rId6"/>
  </sheets>
  <definedNames>
    <definedName function="false" hidden="true" localSheetId="1" name="_xlnm._FilterDatabase" vbProcedure="false">Targets!$A$1:$N$22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<sst xmlns="http://schemas.openxmlformats.org/spreadsheetml/2006/main" count="281" uniqueCount="187">
  <si>
    <t xml:space="preserve">How to use this tracker</t>
  </si>
  <si>
    <t xml:space="preserve">Yellow cells are yours to fill in: Status (dropdown), Date contacted, Notes. 'Follow up on' calculates itself (date contacted + 7 days).</t>
  </si>
  <si>
    <t xml:space="preserve">Priority A = active business with a clear website problem or no website. B = smaller opportunity. Goodwill = no pitch, just a helpful heads-up. C = only old directory listings, may not be operating. Rows marked 'EMAIL DRAFTED' in Notes have emails ready from our chat.</t>
  </si>
  <si>
    <t xml:space="preserve">Always open with the specific thing in 'What I noticed', and re-check it on the live site first, since sites change.</t>
  </si>
  <si>
    <t xml:space="preserve">No email listed? Use the 'Best contact' column: Instagram or Facebook messages work well for businesses that live on social media.</t>
  </si>
  <si>
    <t xml:space="preserve">Emails: include your name, business, website and an opt-out line (CASL).</t>
  </si>
  <si>
    <t xml:space="preserve">Sources: Alliston BIA directory (allistonbia.com/directory), Yellow Pages, Mad Barn equine directory, and each business's own website. Status checked with Bing searches on Oct 14, 2026.</t>
  </si>
  <si>
    <t xml:space="preserve">Removed businesses are listed on the 'Removed' tab with the reason.</t>
  </si>
  <si>
    <t xml:space="preserve">Priority</t>
  </si>
  <si>
    <t xml:space="preserve">Business</t>
  </si>
  <si>
    <t xml:space="preserve">Type</t>
  </si>
  <si>
    <t xml:space="preserve">Address</t>
  </si>
  <si>
    <t xml:space="preserve">Website</t>
  </si>
  <si>
    <t xml:space="preserve">What I noticed (use in your opener)</t>
  </si>
  <si>
    <t xml:space="preserve">Email</t>
  </si>
  <si>
    <t xml:space="preserve">Phone</t>
  </si>
  <si>
    <t xml:space="preserve">Best contact</t>
  </si>
  <si>
    <t xml:space="preserve">Suggested offer</t>
  </si>
  <si>
    <t xml:space="preserve">Status</t>
  </si>
  <si>
    <t xml:space="preserve">Date contacted</t>
  </si>
  <si>
    <t xml:space="preserve">Follow up on</t>
  </si>
  <si>
    <t xml:space="preserve">Notes</t>
  </si>
  <si>
    <t xml:space="preserve">A</t>
  </si>
  <si>
    <t xml:space="preserve">Hooves For Heart</t>
  </si>
  <si>
    <t xml:space="preserve">Riding lessons / equine therapy</t>
  </si>
  <si>
    <t xml:space="preserve">3-92 Victoria St E, Alliston</t>
  </si>
  <si>
    <t xml:space="preserve">https://hooves4heart-ca.webnode.page/</t>
  </si>
  <si>
    <t xml:space="preserve">Site is on a free Webnode address, not its own domain. Closest match to your EFE project. Check the site yourself before sending.</t>
  </si>
  <si>
    <t xml:space="preserve">hoovesforheart@gmail.com</t>
  </si>
  <si>
    <t xml:space="preserve">(647) 621-6710</t>
  </si>
  <si>
    <t xml:space="preserve">Small business site from $700</t>
  </si>
  <si>
    <t xml:space="preserve">Not contacted</t>
  </si>
  <si>
    <t xml:space="preserve">EMAIL DRAFTED. Swap the 'quick chat' line for the 'send over a few free ideas' line.</t>
  </si>
  <si>
    <t xml:space="preserve">Foxbury Farm</t>
  </si>
  <si>
    <t xml:space="preserve">Riding school &amp; boarding</t>
  </si>
  <si>
    <t xml:space="preserve">1148 10th Sideroad, Tottenham</t>
  </si>
  <si>
    <t xml:space="preserve">https://www.foxburyfarm.ca</t>
  </si>
  <si>
    <t xml:space="preserve">Homepage has leftover template wording ('vibrant energy of the area', 'ranked top Riding School time and time again'); no lesson or boarding prices; homepage doesn't show the horses or facility.</t>
  </si>
  <si>
    <t xml:space="preserve">info@foxburyfarm.ca</t>
  </si>
  <si>
    <t xml:space="preserve">905-936-2897</t>
  </si>
  <si>
    <t xml:space="preserve">Homepage refresh from $500</t>
  </si>
  <si>
    <t xml:space="preserve">EMAIL DRAFTED. Active on Instagram (@foxbury_farm) and Facebook.</t>
  </si>
  <si>
    <t xml:space="preserve">Barb's Clothes Closet</t>
  </si>
  <si>
    <t xml:space="preserve">Clothing retail</t>
  </si>
  <si>
    <t xml:space="preserve">124 Victoria St W, Alliston</t>
  </si>
  <si>
    <t xml:space="preserve">http://barbsclothescloset.com</t>
  </si>
  <si>
    <t xml:space="preserve">Footer still says (c) 2019; Google search description says 35 years but the site says 41; duplicated menus and empty partner-logo images.</t>
  </si>
  <si>
    <t xml:space="preserve">barbsclothescloset@gmail.com</t>
  </si>
  <si>
    <t xml:space="preserve">705-435-9895</t>
  </si>
  <si>
    <t xml:space="preserve">EMAIL DRAFTED. Check the Google listing text before sending.</t>
  </si>
  <si>
    <t xml:space="preserve">Fire &amp; Ice Goldsmithing</t>
  </si>
  <si>
    <t xml:space="preserve">Jeweller (Joe Casiello)</t>
  </si>
  <si>
    <t xml:space="preserve">36 Victoria St W, Alliston</t>
  </si>
  <si>
    <t xml:space="preserve">https://www.fireandicegoldsmithing.com</t>
  </si>
  <si>
    <t xml:space="preserve">Weebly site; contact page has no shop address or hours; 'Get in ToucH WITH US' capitalization; 'Powered by Weebly' banner.</t>
  </si>
  <si>
    <t xml:space="preserve">joe-fire-ice@hotmail.com</t>
  </si>
  <si>
    <t xml:space="preserve">416-559-0357</t>
  </si>
  <si>
    <t xml:space="preserve">EMAIL DRAFTED.</t>
  </si>
  <si>
    <t xml:space="preserve">Table For 2 Steakhouse</t>
  </si>
  <si>
    <t xml:space="preserve">Restaurant</t>
  </si>
  <si>
    <t xml:space="preserve">49 Victoria St W, Alliston</t>
  </si>
  <si>
    <t xml:space="preserve">https://tablefor2.ca</t>
  </si>
  <si>
    <t xml:space="preserve">Main heading repeats 3 times; 'Weekly Promotions' has 5 empty bullets; reservations say 'still setting up OpenTable'; menu typos (e.g. 'gilled'). Busy, 4.6 stars on Tripadvisor.</t>
  </si>
  <si>
    <t xml:space="preserve">705-250-3400</t>
  </si>
  <si>
    <t xml:space="preserve">No email found.</t>
  </si>
  <si>
    <t xml:space="preserve">Nine Lives Boutique</t>
  </si>
  <si>
    <t xml:space="preserve">Consignment boutique (owner Katherine)</t>
  </si>
  <si>
    <t xml:space="preserve">8 Victoria St E, Alliston</t>
  </si>
  <si>
    <t xml:space="preserve">http://ninelivesboutique.ca</t>
  </si>
  <si>
    <t xml:space="preserve">Wix site, footer (c) 2023; no phone or email on the site; 'Shop' and 'More' menu items don't link anywhere.</t>
  </si>
  <si>
    <t xml:space="preserve">705-435-5382</t>
  </si>
  <si>
    <t xml:space="preserve">Facebook message or phone</t>
  </si>
  <si>
    <t xml:space="preserve">Facebook: facebook.com/NineLivesBoutique (667 followers).</t>
  </si>
  <si>
    <t xml:space="preserve">Mr. Komo Barbershop</t>
  </si>
  <si>
    <t xml:space="preserve">Barber</t>
  </si>
  <si>
    <t xml:space="preserve">103 Victoria St W, Alliston</t>
  </si>
  <si>
    <t xml:space="preserve">None</t>
  </si>
  <si>
    <t xml:space="preserve">Opened about a year ago; active Instagram (977 followers) but no website.</t>
  </si>
  <si>
    <t xml:space="preserve">705-434-1717</t>
  </si>
  <si>
    <t xml:space="preserve">Instagram DM</t>
  </si>
  <si>
    <t xml:space="preserve">One-page site from $400</t>
  </si>
  <si>
    <t xml:space="preserve">Instagram: @mr.komobarbershop</t>
  </si>
  <si>
    <t xml:space="preserve">Bake My Day</t>
  </si>
  <si>
    <t xml:space="preserve">Bakery</t>
  </si>
  <si>
    <t xml:space="preserve">97 Victoria St W, Alliston</t>
  </si>
  <si>
    <t xml:space="preserve">Active and open; uses Instagram as its website. (bmdbakery.ca is a different bakery in Alberta.)</t>
  </si>
  <si>
    <t xml:space="preserve">705-250-9555</t>
  </si>
  <si>
    <t xml:space="preserve">Instagram: @bakemydayalliston. Also on Facebook.</t>
  </si>
  <si>
    <t xml:space="preserve">Shear Addiction</t>
  </si>
  <si>
    <t xml:space="preserve">Hair salon</t>
  </si>
  <si>
    <t xml:space="preserve">7126 4th Line, Tottenham</t>
  </si>
  <si>
    <t xml:space="preserve">Active Facebook (888 followers, 4.8 stars from 56 reviews) but no website.</t>
  </si>
  <si>
    <t xml:space="preserve">905-936-3727</t>
  </si>
  <si>
    <t xml:space="preserve">Facebook message</t>
  </si>
  <si>
    <t xml:space="preserve">Facebook: facebook.com/Shear.Addiction.hair.studio</t>
  </si>
  <si>
    <t xml:space="preserve">Fox Creek Stables</t>
  </si>
  <si>
    <t xml:space="preserve">Trail rides</t>
  </si>
  <si>
    <t xml:space="preserve">11838 County Rd 10, Stayner</t>
  </si>
  <si>
    <t xml:space="preserve">http://foxcreekstables.weebly.com</t>
  </si>
  <si>
    <t xml:space="preserve">Free Weebly address; no email, street address or social links anywhere on the site; pricing only 'from $25'.</t>
  </si>
  <si>
    <t xml:space="preserve">(705) 428-2257</t>
  </si>
  <si>
    <t xml:space="preserve">EMAIL + PHONE SCRIPT DRAFTED. Ask for an email on the call. The Facebook 'Fox Creek Stables' is a different stable in Pennsylvania.</t>
  </si>
  <si>
    <t xml:space="preserve">B</t>
  </si>
  <si>
    <t xml:space="preserve">Bern's Flowers &amp; Gifts</t>
  </si>
  <si>
    <t xml:space="preserve">Florist (owners Sharon &amp; Lachlan McGurk)</t>
  </si>
  <si>
    <t xml:space="preserve">122 Victoria St W, Alliston</t>
  </si>
  <si>
    <t xml:space="preserve">http://bernsflowers.com</t>
  </si>
  <si>
    <t xml:space="preserve">Teleflora/eFlorist storefront: Google+ icon, retired Google Analytics tag, '#' placeholder links. Just celebrated 50 years and already pays for marketing, so a harder sell.</t>
  </si>
  <si>
    <t xml:space="preserve">info@bernsflowers.com</t>
  </si>
  <si>
    <t xml:space="preserve">705-435-5519</t>
  </si>
  <si>
    <t xml:space="preserve">Bodies in Balance Massage</t>
  </si>
  <si>
    <t xml:space="preserve">Massage therapy</t>
  </si>
  <si>
    <t xml:space="preserve">1 Victoria St E, Alliston</t>
  </si>
  <si>
    <t xml:space="preserve">http://bodiesinbalance.ca</t>
  </si>
  <si>
    <t xml:space="preserve">Site is fairly current ((c) 2025) but has no online booking, blank search descriptions and a duplicated menu.</t>
  </si>
  <si>
    <t xml:space="preserve">info@bodiesinbalance.ca</t>
  </si>
  <si>
    <t xml:space="preserve">705-435-5566</t>
  </si>
  <si>
    <t xml:space="preserve">Website care from $60/mo</t>
  </si>
  <si>
    <t xml:space="preserve">Goodwill</t>
  </si>
  <si>
    <t xml:space="preserve">Northern Blush Floral</t>
  </si>
  <si>
    <t xml:space="preserve">Florist (owner Cait Bolton)</t>
  </si>
  <si>
    <t xml:space="preserve">96 Victoria St W Unit 4, Alliston</t>
  </si>
  <si>
    <t xml:space="preserve">https://northernblushfloral.ca</t>
  </si>
  <si>
    <t xml:space="preserve">Website is in good shape. Their BIA directory listing links to a misspelled domain ('nothern') and an old phone number (705-250-0428).</t>
  </si>
  <si>
    <t xml:space="preserve">northernblushfloral@gmail.com</t>
  </si>
  <si>
    <t xml:space="preserve">647-678-2248</t>
  </si>
  <si>
    <t xml:space="preserve">None, goodwill only</t>
  </si>
  <si>
    <t xml:space="preserve">EMAIL DRAFTED (BIA heads-up, firefighter intro). Not a sales pitch.</t>
  </si>
  <si>
    <t xml:space="preserve">C</t>
  </si>
  <si>
    <t xml:space="preserve">Fernwood Landscaping</t>
  </si>
  <si>
    <t xml:space="preserve">Landscaping</t>
  </si>
  <si>
    <t xml:space="preserve">134 Victoria St E, Alliston</t>
  </si>
  <si>
    <t xml:space="preserve">Only old directory listings; no reviews, social media or recent activity. May not be operating.</t>
  </si>
  <si>
    <t xml:space="preserve">705-435-7771</t>
  </si>
  <si>
    <t xml:space="preserve">Kowalski Landscaping</t>
  </si>
  <si>
    <t xml:space="preserve">Alliston</t>
  </si>
  <si>
    <t xml:space="preserve">Only old directory listings. May not be operating.</t>
  </si>
  <si>
    <t xml:space="preserve">705-435-7670</t>
  </si>
  <si>
    <t xml:space="preserve">Pattison Bros</t>
  </si>
  <si>
    <t xml:space="preserve">5583 6th Line, Tottenham</t>
  </si>
  <si>
    <t xml:space="preserve">Only directory listings; no reviews or social media.</t>
  </si>
  <si>
    <t xml:space="preserve">905-729-2031</t>
  </si>
  <si>
    <t xml:space="preserve">Silver Snips</t>
  </si>
  <si>
    <t xml:space="preserve">5515 Scotch Line, Alliston</t>
  </si>
  <si>
    <t xml:space="preserve">705-434-4003</t>
  </si>
  <si>
    <t xml:space="preserve">DeMaria Coiffure</t>
  </si>
  <si>
    <t xml:space="preserve">77 Victoria St W, Alliston</t>
  </si>
  <si>
    <t xml:space="preserve">705-435-5781</t>
  </si>
  <si>
    <t xml:space="preserve">Elegante Hair Design</t>
  </si>
  <si>
    <t xml:space="preserve">29 Paris St, Alliston (listings conflict)</t>
  </si>
  <si>
    <t xml:space="preserve">Listings conflict: Alliston vs Tottenham, two phone numbers (705-250-0772 / 905-936-9182). May have moved or closed.</t>
  </si>
  <si>
    <t xml:space="preserve">705-250-0772</t>
  </si>
  <si>
    <t xml:space="preserve">Avantgarde Hair</t>
  </si>
  <si>
    <t xml:space="preserve">19 Queen St S, Tottenham (or 4 Mill St E)</t>
  </si>
  <si>
    <t xml:space="preserve">Old listings (one dated 2014) and a conflicting address. Unclear if open.</t>
  </si>
  <si>
    <t xml:space="preserve">905-936-9654</t>
  </si>
  <si>
    <t xml:space="preserve">Pommele Acres</t>
  </si>
  <si>
    <t xml:space="preserve">Event barn</t>
  </si>
  <si>
    <t xml:space="preserve">7018 4th Line, Tottenham</t>
  </si>
  <si>
    <t xml:space="preserve">Only an Eventing Canada directory listing; no website or recent activity found.</t>
  </si>
  <si>
    <t xml:space="preserve">905-936-2343</t>
  </si>
  <si>
    <t xml:space="preserve">Outreach summary</t>
  </si>
  <si>
    <t xml:space="preserve">Count</t>
  </si>
  <si>
    <t xml:space="preserve">Contacted</t>
  </si>
  <si>
    <t xml:space="preserve">Followed up</t>
  </si>
  <si>
    <t xml:space="preserve">Replied</t>
  </si>
  <si>
    <t xml:space="preserve">Call booked</t>
  </si>
  <si>
    <t xml:space="preserve">Quoted</t>
  </si>
  <si>
    <t xml:space="preserve">Won</t>
  </si>
  <si>
    <t xml:space="preserve">Not interested</t>
  </si>
  <si>
    <t xml:space="preserve">Total</t>
  </si>
  <si>
    <t xml:space="preserve">Reply rate (of contacted)</t>
  </si>
  <si>
    <t xml:space="preserve">Reason</t>
  </si>
  <si>
    <t xml:space="preserve">Park Lane Ranch</t>
  </si>
  <si>
    <t xml:space="preserve">Permanently closed</t>
  </si>
  <si>
    <t xml:space="preserve">Sher-al Farm</t>
  </si>
  <si>
    <t xml:space="preserve">Springland Riding Stable</t>
  </si>
  <si>
    <t xml:space="preserve">LandJ Stables</t>
  </si>
  <si>
    <t xml:space="preserve">Website down; only old directory listings</t>
  </si>
  <si>
    <t xml:space="preserve">Alliston's Attic</t>
  </si>
  <si>
    <t xml:space="preserve">Volunteer-run thrift store raising money for a school; not a fit</t>
  </si>
  <si>
    <t xml:space="preserve">Hill-Billy Hack Riding Stables</t>
  </si>
  <si>
    <t xml:space="preserve">News story suggests it is now an animal sanctuary</t>
  </si>
  <si>
    <t xml:space="preserve">Van Well Stables</t>
  </si>
  <si>
    <t xml:space="preserve">In Caledonia, near Hamilton; too far</t>
  </si>
  <si>
    <t xml:space="preserve">East Bay Riding Academy</t>
  </si>
  <si>
    <t xml:space="preserve">US business; old domain now redirects to a spam site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</si>
</sst>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2F0D9"/>
        <bgColor rgb="FFDDEBF7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DDEBF7"/>
        <bgColor rgb="FFE2F0D9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1F1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23.8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customFormat="false" ht="23.85" hidden="false" customHeight="false" outlineLevel="0" collapsed="false">
      <c r="A2" s="4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14</v>
      </c>
      <c r="J2" s="5" t="s">
        <v>30</v>
      </c>
      <c r="K2" s="6" t="s">
        <v>31</v>
      </c>
      <c r="L2" s="7"/>
      <c r="M2" s="8" t="str">
        <f aca="false">IF(L2="","",L2+7)</f>
        <v/>
      </c>
      <c r="N2" s="6" t="s">
        <v>32</v>
      </c>
    </row>
    <row r="3" customFormat="false" ht="35.05" hidden="false" customHeight="false" outlineLevel="0" collapsed="false">
      <c r="A3" s="4" t="s">
        <v>22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14</v>
      </c>
      <c r="J3" s="5" t="s">
        <v>40</v>
      </c>
      <c r="K3" s="6" t="s">
        <v>31</v>
      </c>
      <c r="L3" s="7"/>
      <c r="M3" s="8" t="str">
        <f aca="false">IF(L3="","",L3+7)</f>
        <v/>
      </c>
      <c r="N3" s="6" t="s">
        <v>41</v>
      </c>
    </row>
    <row r="4" customFormat="false" ht="35.05" hidden="false" customHeight="false" outlineLevel="0" collapsed="false">
      <c r="A4" s="4" t="s">
        <v>22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14</v>
      </c>
      <c r="J4" s="5" t="s">
        <v>40</v>
      </c>
      <c r="K4" s="6" t="s">
        <v>31</v>
      </c>
      <c r="L4" s="7"/>
      <c r="M4" s="8" t="str">
        <f aca="false">IF(L4="","",L4+7)</f>
        <v/>
      </c>
      <c r="N4" s="6" t="s">
        <v>49</v>
      </c>
    </row>
    <row r="5" customFormat="false" ht="23.85" hidden="false" customHeight="false" outlineLevel="0" collapsed="false">
      <c r="A5" s="4" t="s">
        <v>22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14</v>
      </c>
      <c r="J5" s="5" t="s">
        <v>30</v>
      </c>
      <c r="K5" s="6" t="s">
        <v>31</v>
      </c>
      <c r="L5" s="7"/>
      <c r="M5" s="8" t="str">
        <f aca="false">IF(L5="","",L5+7)</f>
        <v/>
      </c>
      <c r="N5" s="6" t="s">
        <v>57</v>
      </c>
    </row>
    <row r="6" customFormat="false" ht="35.05" hidden="false" customHeight="false" outlineLevel="0" collapsed="false">
      <c r="A6" s="4" t="s">
        <v>22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/>
      <c r="H6" s="5" t="s">
        <v>63</v>
      </c>
      <c r="I6" s="5" t="s">
        <v>15</v>
      </c>
      <c r="J6" s="5" t="s">
        <v>40</v>
      </c>
      <c r="K6" s="6" t="s">
        <v>31</v>
      </c>
      <c r="L6" s="7"/>
      <c r="M6" s="8" t="str">
        <f aca="false">IF(L6="","",L6+7)</f>
        <v/>
      </c>
      <c r="N6" s="6" t="s">
        <v>64</v>
      </c>
    </row>
    <row r="7" customFormat="false" ht="23.85" hidden="false" customHeight="false" outlineLevel="0" collapsed="false">
      <c r="A7" s="4" t="s">
        <v>22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/>
      <c r="H7" s="5" t="s">
        <v>70</v>
      </c>
      <c r="I7" s="5" t="s">
        <v>71</v>
      </c>
      <c r="J7" s="5" t="s">
        <v>40</v>
      </c>
      <c r="K7" s="6" t="s">
        <v>31</v>
      </c>
      <c r="L7" s="7"/>
      <c r="M7" s="8" t="str">
        <f aca="false">IF(L7="","",L7+7)</f>
        <v/>
      </c>
      <c r="N7" s="6" t="s">
        <v>72</v>
      </c>
    </row>
    <row r="8" customFormat="false" ht="23.85" hidden="false" customHeight="false" outlineLevel="0" collapsed="false">
      <c r="A8" s="4" t="s">
        <v>22</v>
      </c>
      <c r="B8" s="5" t="s">
        <v>73</v>
      </c>
      <c r="C8" s="5" t="s">
        <v>74</v>
      </c>
      <c r="D8" s="5" t="s">
        <v>75</v>
      </c>
      <c r="E8" s="5" t="s">
        <v>76</v>
      </c>
      <c r="F8" s="5" t="s">
        <v>77</v>
      </c>
      <c r="G8" s="5"/>
      <c r="H8" s="5" t="s">
        <v>78</v>
      </c>
      <c r="I8" s="5" t="s">
        <v>79</v>
      </c>
      <c r="J8" s="5" t="s">
        <v>80</v>
      </c>
      <c r="K8" s="6" t="s">
        <v>31</v>
      </c>
      <c r="L8" s="7"/>
      <c r="M8" s="8" t="str">
        <f aca="false">IF(L8="","",L8+7)</f>
        <v/>
      </c>
      <c r="N8" s="6" t="s">
        <v>81</v>
      </c>
    </row>
    <row r="9" customFormat="false" ht="23.85" hidden="false" customHeight="false" outlineLevel="0" collapsed="false">
      <c r="A9" s="4" t="s">
        <v>22</v>
      </c>
      <c r="B9" s="5" t="s">
        <v>82</v>
      </c>
      <c r="C9" s="5" t="s">
        <v>83</v>
      </c>
      <c r="D9" s="5" t="s">
        <v>84</v>
      </c>
      <c r="E9" s="5" t="s">
        <v>76</v>
      </c>
      <c r="F9" s="5" t="s">
        <v>85</v>
      </c>
      <c r="G9" s="5"/>
      <c r="H9" s="5" t="s">
        <v>86</v>
      </c>
      <c r="I9" s="5" t="s">
        <v>79</v>
      </c>
      <c r="J9" s="5" t="s">
        <v>80</v>
      </c>
      <c r="K9" s="6" t="s">
        <v>31</v>
      </c>
      <c r="L9" s="7"/>
      <c r="M9" s="8" t="str">
        <f aca="false">IF(L9="","",L9+7)</f>
        <v/>
      </c>
      <c r="N9" s="6" t="s">
        <v>87</v>
      </c>
    </row>
    <row r="10" customFormat="false" ht="23.85" hidden="false" customHeight="false" outlineLevel="0" collapsed="false">
      <c r="A10" s="4" t="s">
        <v>22</v>
      </c>
      <c r="B10" s="5" t="s">
        <v>88</v>
      </c>
      <c r="C10" s="5" t="s">
        <v>89</v>
      </c>
      <c r="D10" s="5" t="s">
        <v>90</v>
      </c>
      <c r="E10" s="5" t="s">
        <v>76</v>
      </c>
      <c r="F10" s="5" t="s">
        <v>91</v>
      </c>
      <c r="G10" s="5"/>
      <c r="H10" s="5" t="s">
        <v>92</v>
      </c>
      <c r="I10" s="5" t="s">
        <v>93</v>
      </c>
      <c r="J10" s="5" t="s">
        <v>80</v>
      </c>
      <c r="K10" s="6" t="s">
        <v>31</v>
      </c>
      <c r="L10" s="7"/>
      <c r="M10" s="8" t="str">
        <f aca="false">IF(L10="","",L10+7)</f>
        <v/>
      </c>
      <c r="N10" s="6" t="s">
        <v>94</v>
      </c>
    </row>
    <row r="11" customFormat="false" ht="35.05" hidden="false" customHeight="false" outlineLevel="0" collapsed="false">
      <c r="A11" s="4" t="s">
        <v>22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/>
      <c r="H11" s="5" t="s">
        <v>100</v>
      </c>
      <c r="I11" s="5" t="s">
        <v>15</v>
      </c>
      <c r="J11" s="5" t="s">
        <v>30</v>
      </c>
      <c r="K11" s="6" t="s">
        <v>31</v>
      </c>
      <c r="L11" s="7"/>
      <c r="M11" s="8" t="str">
        <f aca="false">IF(L11="","",L11+7)</f>
        <v/>
      </c>
      <c r="N11" s="6" t="s">
        <v>101</v>
      </c>
    </row>
    <row r="12" customFormat="false" ht="35.05" hidden="false" customHeight="false" outlineLevel="0" collapsed="false">
      <c r="A12" s="9" t="s">
        <v>102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107</v>
      </c>
      <c r="G12" s="5" t="s">
        <v>108</v>
      </c>
      <c r="H12" s="5" t="s">
        <v>109</v>
      </c>
      <c r="I12" s="5" t="s">
        <v>14</v>
      </c>
      <c r="J12" s="5" t="s">
        <v>40</v>
      </c>
      <c r="K12" s="6" t="s">
        <v>31</v>
      </c>
      <c r="L12" s="7"/>
      <c r="M12" s="8" t="str">
        <f aca="false">IF(L12="","",L12+7)</f>
        <v/>
      </c>
      <c r="N12" s="6"/>
    </row>
    <row r="13" customFormat="false" ht="23.85" hidden="false" customHeight="false" outlineLevel="0" collapsed="false">
      <c r="A13" s="9" t="s">
        <v>102</v>
      </c>
      <c r="B13" s="5" t="s">
        <v>110</v>
      </c>
      <c r="C13" s="5" t="s">
        <v>111</v>
      </c>
      <c r="D13" s="5" t="s">
        <v>112</v>
      </c>
      <c r="E13" s="5" t="s">
        <v>113</v>
      </c>
      <c r="F13" s="5" t="s">
        <v>114</v>
      </c>
      <c r="G13" s="5" t="s">
        <v>115</v>
      </c>
      <c r="H13" s="5" t="s">
        <v>116</v>
      </c>
      <c r="I13" s="5" t="s">
        <v>14</v>
      </c>
      <c r="J13" s="5" t="s">
        <v>117</v>
      </c>
      <c r="K13" s="6" t="s">
        <v>31</v>
      </c>
      <c r="L13" s="7"/>
      <c r="M13" s="8" t="str">
        <f aca="false">IF(L13="","",L13+7)</f>
        <v/>
      </c>
      <c r="N13" s="6"/>
    </row>
    <row r="14" customFormat="false" ht="35.05" hidden="false" customHeight="false" outlineLevel="0" collapsed="false">
      <c r="A14" s="10" t="s">
        <v>118</v>
      </c>
      <c r="B14" s="5" t="s">
        <v>119</v>
      </c>
      <c r="C14" s="5" t="s">
        <v>120</v>
      </c>
      <c r="D14" s="5" t="s">
        <v>121</v>
      </c>
      <c r="E14" s="5" t="s">
        <v>122</v>
      </c>
      <c r="F14" s="5" t="s">
        <v>123</v>
      </c>
      <c r="G14" s="5" t="s">
        <v>124</v>
      </c>
      <c r="H14" s="5" t="s">
        <v>125</v>
      </c>
      <c r="I14" s="5" t="s">
        <v>14</v>
      </c>
      <c r="J14" s="5" t="s">
        <v>126</v>
      </c>
      <c r="K14" s="6" t="s">
        <v>31</v>
      </c>
      <c r="L14" s="7"/>
      <c r="M14" s="8" t="str">
        <f aca="false">IF(L14="","",L14+7)</f>
        <v/>
      </c>
      <c r="N14" s="6" t="s">
        <v>127</v>
      </c>
    </row>
    <row r="15" customFormat="false" ht="23.85" hidden="false" customHeight="false" outlineLevel="0" collapsed="false">
      <c r="A15" s="11" t="s">
        <v>128</v>
      </c>
      <c r="B15" s="5" t="s">
        <v>129</v>
      </c>
      <c r="C15" s="5" t="s">
        <v>130</v>
      </c>
      <c r="D15" s="5" t="s">
        <v>131</v>
      </c>
      <c r="E15" s="5" t="s">
        <v>76</v>
      </c>
      <c r="F15" s="5" t="s">
        <v>132</v>
      </c>
      <c r="G15" s="5"/>
      <c r="H15" s="5" t="s">
        <v>133</v>
      </c>
      <c r="I15" s="5" t="s">
        <v>15</v>
      </c>
      <c r="J15" s="5" t="s">
        <v>80</v>
      </c>
      <c r="K15" s="6" t="s">
        <v>31</v>
      </c>
      <c r="L15" s="7"/>
      <c r="M15" s="8" t="str">
        <f aca="false">IF(L15="","",L15+7)</f>
        <v/>
      </c>
      <c r="N15" s="6"/>
    </row>
    <row r="16" customFormat="false" ht="15" hidden="false" customHeight="false" outlineLevel="0" collapsed="false">
      <c r="A16" s="11" t="s">
        <v>128</v>
      </c>
      <c r="B16" s="5" t="s">
        <v>134</v>
      </c>
      <c r="C16" s="5" t="s">
        <v>130</v>
      </c>
      <c r="D16" s="5" t="s">
        <v>135</v>
      </c>
      <c r="E16" s="5" t="s">
        <v>76</v>
      </c>
      <c r="F16" s="5" t="s">
        <v>136</v>
      </c>
      <c r="G16" s="5"/>
      <c r="H16" s="5" t="s">
        <v>137</v>
      </c>
      <c r="I16" s="5" t="s">
        <v>15</v>
      </c>
      <c r="J16" s="5" t="s">
        <v>80</v>
      </c>
      <c r="K16" s="6" t="s">
        <v>31</v>
      </c>
      <c r="L16" s="7"/>
      <c r="M16" s="8" t="str">
        <f aca="false">IF(L16="","",L16+7)</f>
        <v/>
      </c>
      <c r="N16" s="6"/>
    </row>
    <row r="17" customFormat="false" ht="15" hidden="false" customHeight="false" outlineLevel="0" collapsed="false">
      <c r="A17" s="11" t="s">
        <v>128</v>
      </c>
      <c r="B17" s="5" t="s">
        <v>138</v>
      </c>
      <c r="C17" s="5" t="s">
        <v>130</v>
      </c>
      <c r="D17" s="5" t="s">
        <v>139</v>
      </c>
      <c r="E17" s="5" t="s">
        <v>76</v>
      </c>
      <c r="F17" s="5" t="s">
        <v>140</v>
      </c>
      <c r="G17" s="5"/>
      <c r="H17" s="5" t="s">
        <v>141</v>
      </c>
      <c r="I17" s="5" t="s">
        <v>15</v>
      </c>
      <c r="J17" s="5" t="s">
        <v>80</v>
      </c>
      <c r="K17" s="6" t="s">
        <v>31</v>
      </c>
      <c r="L17" s="7"/>
      <c r="M17" s="8" t="str">
        <f aca="false">IF(L17="","",L17+7)</f>
        <v/>
      </c>
      <c r="N17" s="6"/>
    </row>
    <row r="18" customFormat="false" ht="15" hidden="false" customHeight="false" outlineLevel="0" collapsed="false">
      <c r="A18" s="11" t="s">
        <v>128</v>
      </c>
      <c r="B18" s="5" t="s">
        <v>142</v>
      </c>
      <c r="C18" s="5" t="s">
        <v>89</v>
      </c>
      <c r="D18" s="5" t="s">
        <v>143</v>
      </c>
      <c r="E18" s="5" t="s">
        <v>76</v>
      </c>
      <c r="F18" s="5" t="s">
        <v>136</v>
      </c>
      <c r="G18" s="5"/>
      <c r="H18" s="5" t="s">
        <v>144</v>
      </c>
      <c r="I18" s="5" t="s">
        <v>15</v>
      </c>
      <c r="J18" s="5" t="s">
        <v>80</v>
      </c>
      <c r="K18" s="6" t="s">
        <v>31</v>
      </c>
      <c r="L18" s="7"/>
      <c r="M18" s="8" t="str">
        <f aca="false">IF(L18="","",L18+7)</f>
        <v/>
      </c>
      <c r="N18" s="6"/>
    </row>
    <row r="19" customFormat="false" ht="15" hidden="false" customHeight="false" outlineLevel="0" collapsed="false">
      <c r="A19" s="11" t="s">
        <v>128</v>
      </c>
      <c r="B19" s="5" t="s">
        <v>145</v>
      </c>
      <c r="C19" s="5" t="s">
        <v>89</v>
      </c>
      <c r="D19" s="5" t="s">
        <v>146</v>
      </c>
      <c r="E19" s="5" t="s">
        <v>76</v>
      </c>
      <c r="F19" s="5" t="s">
        <v>140</v>
      </c>
      <c r="G19" s="5"/>
      <c r="H19" s="5" t="s">
        <v>147</v>
      </c>
      <c r="I19" s="5" t="s">
        <v>15</v>
      </c>
      <c r="J19" s="5" t="s">
        <v>80</v>
      </c>
      <c r="K19" s="6" t="s">
        <v>31</v>
      </c>
      <c r="L19" s="7"/>
      <c r="M19" s="8" t="str">
        <f aca="false">IF(L19="","",L19+7)</f>
        <v/>
      </c>
      <c r="N19" s="6"/>
    </row>
    <row r="20" customFormat="false" ht="23.85" hidden="false" customHeight="false" outlineLevel="0" collapsed="false">
      <c r="A20" s="11" t="s">
        <v>128</v>
      </c>
      <c r="B20" s="5" t="s">
        <v>148</v>
      </c>
      <c r="C20" s="5" t="s">
        <v>89</v>
      </c>
      <c r="D20" s="5" t="s">
        <v>149</v>
      </c>
      <c r="E20" s="5" t="s">
        <v>76</v>
      </c>
      <c r="F20" s="5" t="s">
        <v>150</v>
      </c>
      <c r="G20" s="5"/>
      <c r="H20" s="5" t="s">
        <v>151</v>
      </c>
      <c r="I20" s="5" t="s">
        <v>15</v>
      </c>
      <c r="J20" s="5" t="s">
        <v>80</v>
      </c>
      <c r="K20" s="6" t="s">
        <v>31</v>
      </c>
      <c r="L20" s="7"/>
      <c r="M20" s="8" t="str">
        <f aca="false">IF(L20="","",L20+7)</f>
        <v/>
      </c>
      <c r="N20" s="6"/>
    </row>
    <row r="21" customFormat="false" ht="23.85" hidden="false" customHeight="false" outlineLevel="0" collapsed="false">
      <c r="A21" s="11" t="s">
        <v>128</v>
      </c>
      <c r="B21" s="5" t="s">
        <v>152</v>
      </c>
      <c r="C21" s="5" t="s">
        <v>89</v>
      </c>
      <c r="D21" s="5" t="s">
        <v>153</v>
      </c>
      <c r="E21" s="5" t="s">
        <v>76</v>
      </c>
      <c r="F21" s="5" t="s">
        <v>154</v>
      </c>
      <c r="G21" s="5"/>
      <c r="H21" s="5" t="s">
        <v>155</v>
      </c>
      <c r="I21" s="5" t="s">
        <v>15</v>
      </c>
      <c r="J21" s="5" t="s">
        <v>80</v>
      </c>
      <c r="K21" s="6" t="s">
        <v>31</v>
      </c>
      <c r="L21" s="7"/>
      <c r="M21" s="8" t="str">
        <f aca="false">IF(L21="","",L21+7)</f>
        <v/>
      </c>
      <c r="N21" s="6"/>
    </row>
    <row r="22" customFormat="false" ht="23.85" hidden="false" customHeight="false" outlineLevel="0" collapsed="false">
      <c r="A22" s="11" t="s">
        <v>128</v>
      </c>
      <c r="B22" s="5" t="s">
        <v>156</v>
      </c>
      <c r="C22" s="5" t="s">
        <v>157</v>
      </c>
      <c r="D22" s="5" t="s">
        <v>158</v>
      </c>
      <c r="E22" s="5" t="s">
        <v>76</v>
      </c>
      <c r="F22" s="5" t="s">
        <v>159</v>
      </c>
      <c r="G22" s="5"/>
      <c r="H22" s="5" t="s">
        <v>160</v>
      </c>
      <c r="I22" s="5" t="s">
        <v>15</v>
      </c>
      <c r="J22" s="5" t="s">
        <v>80</v>
      </c>
      <c r="K22" s="6" t="s">
        <v>31</v>
      </c>
      <c r="L22" s="7"/>
      <c r="M22" s="8" t="str">
        <f aca="false">IF(L22="","",L22+7)</f>
        <v/>
      </c>
      <c r="N22" s="6"/>
    </row>
  </sheetData>
  <autoFilter ref="A1:N22"/>
  <dataValidations count="1">
    <dataValidation allowBlank="true" errorStyle="stop" operator="between" showDropDown="false" showErrorMessage="false" showInputMessage="false" sqref="K2:K22" type="list">
      <formula1>"Not contacted,Contacted,Followed up,Replied,Call booked,Quoted,Won,Not interested"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2" t="s">
        <v>161</v>
      </c>
    </row>
    <row r="3" customFormat="false" ht="15" hidden="false" customHeight="false" outlineLevel="0" collapsed="false">
      <c r="A3" s="13" t="s">
        <v>18</v>
      </c>
      <c r="B3" s="13" t="s">
        <v>162</v>
      </c>
    </row>
    <row r="4" customFormat="false" ht="15" hidden="false" customHeight="false" outlineLevel="0" collapsed="false">
      <c r="A4" s="14" t="s">
        <v>31</v>
      </c>
      <c r="B4" s="14" t="n">
        <f aca="false">COUNTIF(Targets!$K$2:$K$22,A4)</f>
        <v>21</v>
      </c>
    </row>
    <row r="5" customFormat="false" ht="15" hidden="false" customHeight="false" outlineLevel="0" collapsed="false">
      <c r="A5" s="14" t="s">
        <v>163</v>
      </c>
      <c r="B5" s="14" t="n">
        <f aca="false">COUNTIF(Targets!$K$2:$K$22,A5)</f>
        <v>0</v>
      </c>
    </row>
    <row r="6" customFormat="false" ht="15" hidden="false" customHeight="false" outlineLevel="0" collapsed="false">
      <c r="A6" s="14" t="s">
        <v>164</v>
      </c>
      <c r="B6" s="14" t="n">
        <f aca="false">COUNTIF(Targets!$K$2:$K$22,A6)</f>
        <v>0</v>
      </c>
    </row>
    <row r="7" customFormat="false" ht="15" hidden="false" customHeight="false" outlineLevel="0" collapsed="false">
      <c r="A7" s="14" t="s">
        <v>165</v>
      </c>
      <c r="B7" s="14" t="n">
        <f aca="false">COUNTIF(Targets!$K$2:$K$22,A7)</f>
        <v>0</v>
      </c>
    </row>
    <row r="8" customFormat="false" ht="15" hidden="false" customHeight="false" outlineLevel="0" collapsed="false">
      <c r="A8" s="14" t="s">
        <v>166</v>
      </c>
      <c r="B8" s="14" t="n">
        <f aca="false">COUNTIF(Targets!$K$2:$K$22,A8)</f>
        <v>0</v>
      </c>
    </row>
    <row r="9" customFormat="false" ht="15" hidden="false" customHeight="false" outlineLevel="0" collapsed="false">
      <c r="A9" s="14" t="s">
        <v>167</v>
      </c>
      <c r="B9" s="14" t="n">
        <f aca="false">COUNTIF(Targets!$K$2:$K$22,A9)</f>
        <v>0</v>
      </c>
    </row>
    <row r="10" customFormat="false" ht="15" hidden="false" customHeight="false" outlineLevel="0" collapsed="false">
      <c r="A10" s="14" t="s">
        <v>168</v>
      </c>
      <c r="B10" s="14" t="n">
        <f aca="false">COUNTIF(Targets!$K$2:$K$22,A10)</f>
        <v>0</v>
      </c>
    </row>
    <row r="11" customFormat="false" ht="15" hidden="false" customHeight="false" outlineLevel="0" collapsed="false">
      <c r="A11" s="14" t="s">
        <v>169</v>
      </c>
      <c r="B11" s="14" t="n">
        <f aca="false">COUNTIF(Targets!$K$2:$K$22,A11)</f>
        <v>0</v>
      </c>
    </row>
    <row r="12" customFormat="false" ht="15" hidden="false" customHeight="false" outlineLevel="0" collapsed="false">
      <c r="A12" s="13" t="s">
        <v>170</v>
      </c>
      <c r="B12" s="13" t="n">
        <f aca="false">SUM(B4:B11)</f>
        <v>21</v>
      </c>
    </row>
    <row r="13" customFormat="false" ht="15" hidden="false" customHeight="false" outlineLevel="0" collapsed="false">
      <c r="A13" s="14" t="s">
        <v>171</v>
      </c>
      <c r="B13" s="15" t="str">
        <f aca="false">IF(B12-B4=0,"-",SUM(B7:B11)/(B12-B4))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3" t="s">
        <v>9</v>
      </c>
      <c r="B1" s="13" t="s">
        <v>172</v>
      </c>
    </row>
    <row r="2" customFormat="false" ht="15" hidden="false" customHeight="false" outlineLevel="0" collapsed="false">
      <c r="A2" s="14" t="s">
        <v>173</v>
      </c>
      <c r="B2" s="14" t="s">
        <v>174</v>
      </c>
    </row>
    <row r="3" customFormat="false" ht="15" hidden="false" customHeight="false" outlineLevel="0" collapsed="false">
      <c r="A3" s="14" t="s">
        <v>175</v>
      </c>
      <c r="B3" s="14" t="s">
        <v>174</v>
      </c>
    </row>
    <row r="4" customFormat="false" ht="15" hidden="false" customHeight="false" outlineLevel="0" collapsed="false">
      <c r="A4" s="14" t="s">
        <v>176</v>
      </c>
      <c r="B4" s="14" t="s">
        <v>174</v>
      </c>
    </row>
    <row r="5" customFormat="false" ht="15" hidden="false" customHeight="false" outlineLevel="0" collapsed="false">
      <c r="A5" s="14" t="s">
        <v>177</v>
      </c>
      <c r="B5" s="14" t="s">
        <v>178</v>
      </c>
    </row>
    <row r="6" customFormat="false" ht="15" hidden="false" customHeight="false" outlineLevel="0" collapsed="false">
      <c r="A6" s="14" t="s">
        <v>179</v>
      </c>
      <c r="B6" s="14" t="s">
        <v>180</v>
      </c>
    </row>
    <row r="7" customFormat="false" ht="15" hidden="false" customHeight="false" outlineLevel="0" collapsed="false">
      <c r="A7" s="14" t="s">
        <v>181</v>
      </c>
      <c r="B7" s="14" t="s">
        <v>182</v>
      </c>
    </row>
    <row r="8" customFormat="false" ht="15" hidden="false" customHeight="false" outlineLevel="0" collapsed="false">
      <c r="A8" s="14" t="s">
        <v>183</v>
      </c>
      <c r="B8" s="14" t="s">
        <v>184</v>
      </c>
    </row>
    <row r="9" customFormat="false" ht="15" hidden="false" customHeight="false" outlineLevel="0" collapsed="false">
      <c r="A9" s="14" t="s">
        <v>185</v>
      </c>
      <c r="B9" s="1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2026-10-14T18:25:45Z</dcterms:created>
  <dc:creator>openpyxl</dc:creator>
  <dc:description/>
  <dc:language>en-US</dc:language>
  <cp:lastModifiedBy/>
  <dcterms:modified xsi:type="dcterms:W3CDTF">2026-10-14T18:25:45Z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